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aim/Downloads/"/>
    </mc:Choice>
  </mc:AlternateContent>
  <xr:revisionPtr revIDLastSave="0" documentId="8_{C3B58235-C36A-0A49-B63F-288DBF8F5F02}" xr6:coauthVersionLast="47" xr6:coauthVersionMax="47" xr10:uidLastSave="{00000000-0000-0000-0000-000000000000}"/>
  <bookViews>
    <workbookView xWindow="1000" yWindow="620" windowWidth="27800" windowHeight="17380" tabRatio="500" xr2:uid="{00000000-000D-0000-FFFF-FFFF00000000}"/>
  </bookViews>
  <sheets>
    <sheet name="📖 Kullanım Kılavuzu" sheetId="1" r:id="rId1"/>
    <sheet name="TÜFE_ÜFE" sheetId="2" r:id="rId2"/>
    <sheet name="Dış_Ticaret" sheetId="3" r:id="rId3"/>
    <sheet name="Bankacılık" sheetId="4" r:id="rId4"/>
    <sheet name="İşsizlik_Rezerv_Cari" sheetId="5" r:id="rId5"/>
    <sheet name="Tük_Güven_Endeks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3" l="1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</calcChain>
</file>

<file path=xl/sharedStrings.xml><?xml version="1.0" encoding="utf-8"?>
<sst xmlns="http://schemas.openxmlformats.org/spreadsheetml/2006/main" count="198" uniqueCount="94">
  <si>
    <t>Makro Dashboard — Veri Girişi Kılavuzu</t>
  </si>
  <si>
    <t>🎯 Bu dosya nasıl kullanılır?</t>
  </si>
  <si>
    <t>1. Her sayfada sarı hücreler = henüz girilmemiş / güncellenecek verilerdir.</t>
  </si>
  <si>
    <t>2. Veriyi girdikten sonra bu dosyayı dashboarda Upload edin.</t>
  </si>
  <si>
    <t>3. Dashboard otomatik olarak güncel verileri kullanır.</t>
  </si>
  <si>
    <t>📅 Güncelleme Takvimi</t>
  </si>
  <si>
    <t>TÜFE &amp; ÜFE:              Her ayın ilk haftası (TÜİK)</t>
  </si>
  <si>
    <t>Dış Ticaret:             Her ayın sonu (~30 gün gecikme, TÜİK)</t>
  </si>
  <si>
    <t>Bankacılık:              Her hafta (BDDK Haftalık Bülten)</t>
  </si>
  <si>
    <t>İşsizlik:               Her ayın sonunda (TÜİK, 2 ay gecikmeli)</t>
  </si>
  <si>
    <t>MB Rezervleri:           Her hafta (TCMB)</t>
  </si>
  <si>
    <t>Cari Denge:              Her ayın ortasında (TCMB)</t>
  </si>
  <si>
    <t>Tüketici Güven:          Her ay sonu (TÜİK)</t>
  </si>
  <si>
    <t>🔗 Veri Kaynakları</t>
  </si>
  <si>
    <t>TÜİK:        https://data.tuik.gov.tr</t>
  </si>
  <si>
    <t>TCMB:        https://evds2.tcmb.gov.tr</t>
  </si>
  <si>
    <t>BDDK:        https://www.bddk.gov.tr/BultenHaftalik</t>
  </si>
  <si>
    <t>TİM:         https://tim.org.tr</t>
  </si>
  <si>
    <t>⚠️ Önemli Notlar</t>
  </si>
  <si>
    <t>• Değerleri TÜİK/TCMB/BDDK resmi sitelerinden kontrol ederek girin.</t>
  </si>
  <si>
    <t>• Tarih formatı mutlaka YYYY-MM (örn: 2026-02) olmalı.</t>
  </si>
  <si>
    <t>• Sayısal değerler % için ondalık (örn: 3.21), $ için milyar cinsinden.</t>
  </si>
  <si>
    <t>📈 TÜFE &amp; ÜFE — Enflasyon Göstergeleri</t>
  </si>
  <si>
    <t>Kaynak: TÜİK · Her ayın başında güncelleyin · Tüm değerler % olarak</t>
  </si>
  <si>
    <t>Tarih (YYYY-MM)</t>
  </si>
  <si>
    <t>TÜFE Aylık %</t>
  </si>
  <si>
    <t>TÜFE Yıllık %</t>
  </si>
  <si>
    <t>ÜFE Aylık %</t>
  </si>
  <si>
    <t>ÜFE Yıllık %</t>
  </si>
  <si>
    <t>Çekirdek Enf. Yıllık %</t>
  </si>
  <si>
    <t>Notlar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</si>
  <si>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</si>
  <si>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</si>
  <si>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</si>
  <si>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</si>
  <si>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</si>
  <si>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</si>
  <si>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</si>
  <si>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</si>
  <si>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</si>
  <si>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</si>
  <si>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</si>
  <si>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</si>
  <si>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</si>
  <si>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</si>
  <si>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</si>
  <si>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</si>
  <si>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</si>
  <si>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</si>
  <si>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</si>
  <si>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</si>
  <si>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</si>
  <si>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</si>
  <si>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</si>
  <si>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</si>
  <si>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Ocak 2026 TÜİK</t>
  </si>
  <si>
    <t>💡 Sarı hücreler: Henüz açıklanmamış veriler. TÜİK her ayın ilk haftasında yayınlar.</t>
  </si>
  <si>
    <t>🌍 Dış Ticaret — İhracat &amp; İthalat</t>
  </si>
  <si>
    <t>Kaynak: TÜİK / Ticaret Bakanlığı · Değerler Milyar $ (USD)</t>
  </si>
  <si>
    <t>İhracat (Mrd $)</t>
  </si>
  <si>
    <t>İthalat (Mrd $)</t>
  </si>
  <si>
    <t>Dış Ticaret Dengesi</t>
  </si>
  <si>
    <t>İhracat YoY %</t>
  </si>
  <si>
    <t>İthalat YoY %</t>
  </si>
  <si>
    <t>TÜİK</t>
  </si>
  <si>
    <t>Henüz açıklanmadı</t>
  </si>
  <si>
    <t>🏦 Bankacılık Göstergeleri</t>
  </si>
  <si>
    <t>Kaynak: BDDK Haftalık/Aylık Bülten · Kredi/Mevduat: Milyar TL, NPL: %</t>
  </si>
  <si>
    <t>Toplam Kredi (Mrd TL)</t>
  </si>
  <si>
    <t>Tüketici Kredisi (Mrd TL)</t>
  </si>
  <si>
    <t>Toplam Mevduat (Mrd TL)</t>
  </si>
  <si>
    <t>NPL Oranı %</t>
  </si>
  <si>
    <t>K/M Oranı %</t>
  </si>
  <si>
    <t>Henüz güncellenmedi</t>
  </si>
  <si>
    <t>📊 İşsizlik · MB Rezervleri · Cari Denge</t>
  </si>
  <si>
    <t>Kaynak: TÜİK (işsizlik) · TCMB (rezerv, cari denge) · Rezerv: Mrd $, Cari: Mln $</t>
  </si>
  <si>
    <t>İşsizlik %</t>
  </si>
  <si>
    <t>Genç İşsizlik %</t>
  </si>
  <si>
    <t>MB Brüt Rezerv ($Mrd)</t>
  </si>
  <si>
    <t>Net Rezerv ($Mrd)</t>
  </si>
  <si>
    <t>Cari Denge ($Mln)</t>
  </si>
  <si>
    <t>Politika Faizi %</t>
  </si>
  <si>
    <t>İşsizlik TÜİK Şubat</t>
  </si>
  <si>
    <t>📊 Tüketici &amp; Ekonomik Güven Endeksleri</t>
  </si>
  <si>
    <t>Kaynak: TÜİK · 100 eşik: üzeri iyimser, altı kötümser</t>
  </si>
  <si>
    <t>Tük. Güven End.</t>
  </si>
  <si>
    <t>Ekonomik Güven End.</t>
  </si>
  <si>
    <t>Maddi Durum Beklentisi</t>
  </si>
  <si>
    <t>Genel Ekonomi Beklentisi</t>
  </si>
  <si>
    <t>Ocak 2026 - TÜİK açıkladı mı?</t>
  </si>
  <si>
    <t>2026-02</t>
  </si>
  <si>
    <t>Şubat 2026</t>
  </si>
  <si>
    <t>2026-03</t>
  </si>
  <si>
    <t>Mart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</si>
</sst>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0"/>
      <color rgb="FF1E293B"/>
      <name val="Arial"/>
      <family val="2"/>
    </font>
    <font>
      <b/>
      <sz val="12"/>
      <color rgb="FF1B2A47"/>
      <name val="Arial"/>
      <family val="2"/>
    </font>
    <font>
      <sz val="10"/>
      <color rgb="FF4A6CF7"/>
      <name val="Arial"/>
      <family val="2"/>
    </font>
    <font>
      <b/>
      <sz val="12"/>
      <color rgb="FF7C2D12"/>
      <name val="Arial"/>
      <family val="2"/>
    </font>
    <font>
      <b/>
      <sz val="13"/>
      <color rgb="FFFFFFFF"/>
      <name val="Arial"/>
      <family val="2"/>
    </font>
    <font>
      <sz val="9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rgb="FF1B2A47"/>
      <name val="Arial"/>
      <family val="2"/>
    </font>
    <font>
      <i/>
      <sz val="9"/>
      <color rgb="FF6B7280"/>
      <name val="Arial"/>
      <family val="2"/>
    </font>
    <font>
      <sz val="10"/>
      <color rgb="FFEF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7"/>
        <bgColor rgb="FF1E293B"/>
      </patternFill>
    </fill>
    <fill>
      <patternFill patternType="solid">
        <fgColor rgb="FFFFFFFF"/>
        <bgColor rgb="FFF0F4FF"/>
      </patternFill>
    </fill>
    <fill>
      <patternFill patternType="solid">
        <fgColor rgb="FFF0F4FF"/>
        <bgColor rgb="FFFFFFFF"/>
      </patternFill>
    </fill>
    <fill>
      <patternFill patternType="solid">
        <fgColor rgb="FFFEF9C3"/>
        <bgColor rgb="FFFFFF99"/>
      </patternFill>
    </fill>
    <fill>
      <patternFill patternType="solid">
        <fgColor rgb="FF4A6CF7"/>
        <bgColor rgb="FF0066C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0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8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F0F4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6CF7"/>
      <rgbColor rgb="FF33CCCC"/>
      <rgbColor rgb="FF99CC00"/>
      <rgbColor rgb="FFFFCC00"/>
      <rgbColor rgb="FFFF9900"/>
      <rgbColor rgb="FFEF4444"/>
      <rgbColor rgb="FF6B7280"/>
      <rgbColor rgb="FF969696"/>
      <rgbColor rgb="FF1B2A47"/>
      <rgbColor rgb="FF339966"/>
      <rgbColor rgb="FF003300"/>
      <rgbColor rgb="FF333300"/>
      <rgbColor rgb="FF7C2D12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tabSelected="1"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21.75" customHeight="1" x14ac:dyDescent="0.2">
      <c r="A1" s="4" t="s">
        <v>0</v>
      </c>
    </row>
    <row r="2" spans="1:1" ht="18" customHeight="1" x14ac:dyDescent="0.2">
      <c r="A2" s="5"/>
    </row>
    <row r="3" spans="1:1" ht="21.75" customHeight="1" x14ac:dyDescent="0.2">
      <c r="A3" s="6" t="s">
        <v>1</v>
      </c>
    </row>
    <row r="4" spans="1:1" ht="18" customHeight="1" x14ac:dyDescent="0.2">
      <c r="A4" s="5" t="s">
        <v>2</v>
      </c>
    </row>
    <row r="5" spans="1:1" ht="18" customHeight="1" x14ac:dyDescent="0.2">
      <c r="A5" s="5" t="s">
        <v>3</v>
      </c>
    </row>
    <row r="6" spans="1:1" ht="18" customHeight="1" x14ac:dyDescent="0.2">
      <c r="A6" s="5" t="s">
        <v>4</v>
      </c>
    </row>
    <row r="7" spans="1:1" ht="18" customHeight="1" x14ac:dyDescent="0.2">
      <c r="A7" s="5"/>
    </row>
    <row r="8" spans="1:1" ht="21.75" customHeight="1" x14ac:dyDescent="0.2">
      <c r="A8" s="6" t="s">
        <v>5</v>
      </c>
    </row>
    <row r="9" spans="1:1" ht="18" customHeight="1" x14ac:dyDescent="0.2">
      <c r="A9" s="5" t="s">
        <v>6</v>
      </c>
    </row>
    <row r="10" spans="1:1" ht="18" customHeight="1" x14ac:dyDescent="0.2">
      <c r="A10" s="5" t="s">
        <v>7</v>
      </c>
    </row>
    <row r="11" spans="1:1" ht="18" customHeight="1" x14ac:dyDescent="0.2">
      <c r="A11" s="5" t="s">
        <v>8</v>
      </c>
    </row>
    <row r="12" spans="1:1" ht="18" customHeight="1" x14ac:dyDescent="0.2">
      <c r="A12" s="5" t="s">
        <v>9</v>
      </c>
    </row>
    <row r="13" spans="1:1" ht="18" customHeight="1" x14ac:dyDescent="0.2">
      <c r="A13" s="5" t="s">
        <v>10</v>
      </c>
    </row>
    <row r="14" spans="1:1" ht="18" customHeight="1" x14ac:dyDescent="0.2">
      <c r="A14" s="5" t="s">
        <v>11</v>
      </c>
    </row>
    <row r="15" spans="1:1" ht="18" customHeight="1" x14ac:dyDescent="0.2">
      <c r="A15" s="5" t="s">
        <v>12</v>
      </c>
    </row>
    <row r="16" spans="1:1" ht="18" customHeight="1" x14ac:dyDescent="0.2">
      <c r="A16" s="5"/>
    </row>
    <row r="17" spans="1:1" ht="21.75" customHeight="1" x14ac:dyDescent="0.2">
      <c r="A17" s="6" t="s">
        <v>13</v>
      </c>
    </row>
    <row r="18" spans="1:1" ht="18" customHeight="1" x14ac:dyDescent="0.2">
      <c r="A18" s="7" t="s">
        <v>14</v>
      </c>
    </row>
    <row r="19" spans="1:1" ht="18" customHeight="1" x14ac:dyDescent="0.2">
      <c r="A19" s="7" t="s">
        <v>15</v>
      </c>
    </row>
    <row r="20" spans="1:1" ht="18" customHeight="1" x14ac:dyDescent="0.2">
      <c r="A20" s="7" t="s">
        <v>16</v>
      </c>
    </row>
    <row r="21" spans="1:1" ht="18" customHeight="1" x14ac:dyDescent="0.2">
      <c r="A21" s="7" t="s">
        <v>17</v>
      </c>
    </row>
    <row r="22" spans="1:1" ht="18" customHeight="1" x14ac:dyDescent="0.2">
      <c r="A22" s="5"/>
    </row>
    <row r="23" spans="1:1" ht="21.75" customHeight="1" x14ac:dyDescent="0.2">
      <c r="A23" s="8" t="s">
        <v>18</v>
      </c>
    </row>
    <row r="24" spans="1:1" ht="18" customHeight="1" x14ac:dyDescent="0.2">
      <c r="A24" s="5" t="s">
        <v>19</v>
      </c>
    </row>
    <row r="25" spans="1:1" ht="18" customHeight="1" x14ac:dyDescent="0.2">
      <c r="A25" s="5" t="s">
        <v>20</v>
      </c>
    </row>
    <row r="26" spans="1:1" ht="18" customHeight="1" x14ac:dyDescent="0.2">
      <c r="A26" s="5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baseColWidth="10" defaultColWidth="8.6640625" defaultRowHeight="15" x14ac:dyDescent="0.2"/>
  <cols>
    <col min="1" max="1" width="18" customWidth="1"/>
    <col min="2" max="5" width="14" customWidth="1"/>
    <col min="6" max="6" width="18" customWidth="1"/>
    <col min="7" max="7" width="25" customWidth="1"/>
  </cols>
  <sheetData>
    <row r="1" spans="1:7" ht="31.5" customHeight="1" x14ac:dyDescent="0.2">
      <c r="A1" s="3" t="s">
        <v>22</v>
      </c>
      <c r="B1" s="3"/>
      <c r="C1" s="3"/>
      <c r="D1" s="3"/>
      <c r="E1" s="3"/>
      <c r="F1" s="3"/>
      <c r="G1" s="3"/>
    </row>
    <row r="2" spans="1:7" ht="18" customHeight="1" x14ac:dyDescent="0.2">
      <c r="A2" s="2" t="s">
        <v>23</v>
      </c>
      <c r="B2" s="2"/>
      <c r="C2" s="2"/>
      <c r="D2" s="2"/>
      <c r="E2" s="2"/>
      <c r="F2" s="2"/>
      <c r="G2" s="2"/>
    </row>
    <row r="3" spans="1:7" ht="27.75" customHeight="1" x14ac:dyDescent="0.2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9" t="s">
        <v>29</v>
      </c>
      <c r="G3" s="9" t="s">
        <v>30</v>
      </c>
    </row>
    <row r="4" spans="1:7" ht="19.5" customHeight="1" x14ac:dyDescent="0.2">
      <c r="A4" s="10" t="s">
        <v>31</v>
      </c>
      <c r="B4" s="11">
        <v>4.53</v>
      </c>
      <c r="C4" s="11">
        <v>67.069999999999993</v>
      </c>
      <c r="D4" s="11">
        <v>3.65</v>
      </c>
      <c r="E4" s="11">
        <v>60.12</v>
      </c>
      <c r="F4" s="12"/>
      <c r="G4" s="11"/>
    </row>
    <row r="5" spans="1:7" ht="19.5" customHeight="1" x14ac:dyDescent="0.2">
      <c r="A5" s="13" t="s">
        <v>32</v>
      </c>
      <c r="B5" s="14">
        <v>3.16</v>
      </c>
      <c r="C5" s="14">
        <v>68.5</v>
      </c>
      <c r="D5" s="14">
        <v>3.28</v>
      </c>
      <c r="E5" s="14">
        <v>62.56</v>
      </c>
      <c r="F5" s="12"/>
      <c r="G5" s="14"/>
    </row>
    <row r="6" spans="1:7" ht="19.5" customHeight="1" x14ac:dyDescent="0.2">
      <c r="A6" s="10" t="s">
        <v>33</v>
      </c>
      <c r="B6" s="11">
        <v>3.18</v>
      </c>
      <c r="C6" s="11">
        <v>69.8</v>
      </c>
      <c r="D6" s="11">
        <v>2.81</v>
      </c>
      <c r="E6" s="11">
        <v>55.25</v>
      </c>
      <c r="F6" s="12"/>
      <c r="G6" s="11"/>
    </row>
    <row r="7" spans="1:7" ht="19.5" customHeight="1" x14ac:dyDescent="0.2">
      <c r="A7" s="13" t="s">
        <v>34</v>
      </c>
      <c r="B7" s="14">
        <v>3.37</v>
      </c>
      <c r="C7" s="14">
        <v>75.45</v>
      </c>
      <c r="D7" s="14">
        <v>2.3199999999999998</v>
      </c>
      <c r="E7" s="14">
        <v>57.68</v>
      </c>
      <c r="F7" s="12"/>
      <c r="G7" s="14"/>
    </row>
    <row r="8" spans="1:7" ht="19.5" customHeight="1" x14ac:dyDescent="0.2">
      <c r="A8" s="10" t="s">
        <v>35</v>
      </c>
      <c r="B8" s="11">
        <v>1.64</v>
      </c>
      <c r="C8" s="11">
        <v>71.599999999999994</v>
      </c>
      <c r="D8" s="11">
        <v>2.63</v>
      </c>
      <c r="E8" s="11">
        <v>55.19</v>
      </c>
      <c r="F8" s="12"/>
      <c r="G8" s="11"/>
    </row>
    <row r="9" spans="1:7" ht="19.5" customHeight="1" x14ac:dyDescent="0.2">
      <c r="A9" s="13" t="s">
        <v>36</v>
      </c>
      <c r="B9" s="14">
        <v>3.23</v>
      </c>
      <c r="C9" s="14">
        <v>61.78</v>
      </c>
      <c r="D9" s="14">
        <v>2.12</v>
      </c>
      <c r="E9" s="14">
        <v>45.12</v>
      </c>
      <c r="F9" s="12"/>
      <c r="G9" s="14"/>
    </row>
    <row r="10" spans="1:7" ht="19.5" customHeight="1" x14ac:dyDescent="0.2">
      <c r="A10" s="10" t="s">
        <v>37</v>
      </c>
      <c r="B10" s="11">
        <v>2.4700000000000002</v>
      </c>
      <c r="C10" s="11">
        <v>51.97</v>
      </c>
      <c r="D10" s="11">
        <v>0.28000000000000003</v>
      </c>
      <c r="E10" s="11">
        <v>33.770000000000003</v>
      </c>
      <c r="F10" s="12"/>
      <c r="G10" s="11"/>
    </row>
    <row r="11" spans="1:7" ht="19.5" customHeight="1" x14ac:dyDescent="0.2">
      <c r="A11" s="13" t="s">
        <v>38</v>
      </c>
      <c r="B11" s="14">
        <v>2.97</v>
      </c>
      <c r="C11" s="14">
        <v>49.38</v>
      </c>
      <c r="D11" s="14">
        <v>1.37</v>
      </c>
      <c r="E11" s="14">
        <v>33.090000000000003</v>
      </c>
      <c r="F11" s="12"/>
      <c r="G11" s="14"/>
    </row>
    <row r="12" spans="1:7" ht="19.5" customHeight="1" x14ac:dyDescent="0.2">
      <c r="A12" s="10" t="s">
        <v>39</v>
      </c>
      <c r="B12" s="11">
        <v>2.88</v>
      </c>
      <c r="C12" s="11">
        <v>48.58</v>
      </c>
      <c r="D12" s="11">
        <v>1.42</v>
      </c>
      <c r="E12" s="11">
        <v>29.23</v>
      </c>
      <c r="F12" s="12"/>
      <c r="G12" s="11"/>
    </row>
    <row r="13" spans="1:7" ht="19.5" customHeight="1" x14ac:dyDescent="0.2">
      <c r="A13" s="13" t="s">
        <v>40</v>
      </c>
      <c r="B13" s="14">
        <v>2.2400000000000002</v>
      </c>
      <c r="C13" s="14">
        <v>47.09</v>
      </c>
      <c r="D13" s="14">
        <v>0.97</v>
      </c>
      <c r="E13" s="14">
        <v>24.16</v>
      </c>
      <c r="F13" s="12"/>
      <c r="G13" s="14"/>
    </row>
    <row r="14" spans="1:7" ht="19.5" customHeight="1" x14ac:dyDescent="0.2">
      <c r="A14" s="10" t="s">
        <v>41</v>
      </c>
      <c r="B14" s="11">
        <v>1.03</v>
      </c>
      <c r="C14" s="11">
        <v>44.38</v>
      </c>
      <c r="D14" s="11">
        <v>0.03</v>
      </c>
      <c r="E14" s="11">
        <v>19.96</v>
      </c>
      <c r="F14" s="12"/>
      <c r="G14" s="11"/>
    </row>
    <row r="15" spans="1:7" ht="19.5" customHeight="1" x14ac:dyDescent="0.2">
      <c r="A15" s="13" t="s">
        <v>42</v>
      </c>
      <c r="B15" s="14">
        <v>5.03</v>
      </c>
      <c r="C15" s="14">
        <v>42.12</v>
      </c>
      <c r="D15" s="14">
        <v>4.0999999999999996</v>
      </c>
      <c r="E15" s="14">
        <v>22.43</v>
      </c>
      <c r="F15" s="12"/>
      <c r="G15" s="14"/>
    </row>
    <row r="16" spans="1:7" ht="19.5" customHeight="1" x14ac:dyDescent="0.2">
      <c r="A16" s="10" t="s">
        <v>43</v>
      </c>
      <c r="B16" s="11">
        <v>2.27</v>
      </c>
      <c r="C16" s="11">
        <v>39.049999999999997</v>
      </c>
      <c r="D16" s="11">
        <v>1.64</v>
      </c>
      <c r="E16" s="11">
        <v>17.829999999999998</v>
      </c>
      <c r="F16" s="12"/>
      <c r="G16" s="11"/>
    </row>
    <row r="17" spans="1:7" ht="19.5" customHeight="1" x14ac:dyDescent="0.2">
      <c r="A17" s="13" t="s">
        <v>44</v>
      </c>
      <c r="B17" s="14">
        <v>2.46</v>
      </c>
      <c r="C17" s="14">
        <v>38.1</v>
      </c>
      <c r="D17" s="14">
        <v>2.8</v>
      </c>
      <c r="E17" s="14">
        <v>17.82</v>
      </c>
      <c r="F17" s="12"/>
      <c r="G17" s="14"/>
    </row>
    <row r="18" spans="1:7" ht="19.5" customHeight="1" x14ac:dyDescent="0.2">
      <c r="A18" s="10" t="s">
        <v>45</v>
      </c>
      <c r="B18" s="11">
        <v>3</v>
      </c>
      <c r="C18" s="11">
        <v>37.86</v>
      </c>
      <c r="D18" s="11">
        <v>1.02</v>
      </c>
      <c r="E18" s="11">
        <v>13.93</v>
      </c>
      <c r="F18" s="12"/>
      <c r="G18" s="11"/>
    </row>
    <row r="19" spans="1:7" ht="19.5" customHeight="1" x14ac:dyDescent="0.2">
      <c r="A19" s="13" t="s">
        <v>46</v>
      </c>
      <c r="B19" s="14">
        <v>1.37</v>
      </c>
      <c r="C19" s="14">
        <v>35.049999999999997</v>
      </c>
      <c r="D19" s="14">
        <v>-0.55000000000000004</v>
      </c>
      <c r="E19" s="14">
        <v>10.02</v>
      </c>
      <c r="F19" s="12"/>
      <c r="G19" s="14"/>
    </row>
    <row r="20" spans="1:7" ht="19.5" customHeight="1" x14ac:dyDescent="0.2">
      <c r="A20" s="10" t="s">
        <v>47</v>
      </c>
      <c r="B20" s="11">
        <v>1.38</v>
      </c>
      <c r="C20" s="11">
        <v>35.049999999999997</v>
      </c>
      <c r="D20" s="11">
        <v>0.74</v>
      </c>
      <c r="E20" s="11">
        <v>9.89</v>
      </c>
      <c r="F20" s="12"/>
      <c r="G20" s="11"/>
    </row>
    <row r="21" spans="1:7" ht="19.5" customHeight="1" x14ac:dyDescent="0.2">
      <c r="A21" s="13" t="s">
        <v>48</v>
      </c>
      <c r="B21" s="14">
        <v>1.8</v>
      </c>
      <c r="C21" s="14">
        <v>33.72</v>
      </c>
      <c r="D21" s="14">
        <v>0.53</v>
      </c>
      <c r="E21" s="14">
        <v>7.81</v>
      </c>
      <c r="F21" s="12"/>
      <c r="G21" s="14"/>
    </row>
    <row r="22" spans="1:7" ht="19.5" customHeight="1" x14ac:dyDescent="0.2">
      <c r="A22" s="10" t="s">
        <v>49</v>
      </c>
      <c r="B22" s="11">
        <v>1.75</v>
      </c>
      <c r="C22" s="11">
        <v>32.72</v>
      </c>
      <c r="D22" s="11">
        <v>0.69</v>
      </c>
      <c r="E22" s="11">
        <v>8.42</v>
      </c>
      <c r="F22" s="12"/>
      <c r="G22" s="11"/>
    </row>
    <row r="23" spans="1:7" ht="19.5" customHeight="1" x14ac:dyDescent="0.2">
      <c r="A23" s="13" t="s">
        <v>50</v>
      </c>
      <c r="B23" s="14">
        <v>2.65</v>
      </c>
      <c r="C23" s="14">
        <v>30.67</v>
      </c>
      <c r="D23" s="14">
        <v>1.56</v>
      </c>
      <c r="E23" s="14">
        <v>8.9700000000000006</v>
      </c>
      <c r="F23" s="12"/>
      <c r="G23" s="14"/>
    </row>
    <row r="24" spans="1:7" ht="19.5" customHeight="1" x14ac:dyDescent="0.2">
      <c r="A24" s="10" t="s">
        <v>51</v>
      </c>
      <c r="B24" s="11">
        <v>2.87</v>
      </c>
      <c r="C24" s="11">
        <v>30.63</v>
      </c>
      <c r="D24" s="11">
        <v>1.98</v>
      </c>
      <c r="E24" s="11">
        <v>9.32</v>
      </c>
      <c r="F24" s="12"/>
      <c r="G24" s="11"/>
    </row>
    <row r="25" spans="1:7" ht="19.5" customHeight="1" x14ac:dyDescent="0.2">
      <c r="A25" s="13" t="s">
        <v>52</v>
      </c>
      <c r="B25" s="14">
        <v>2.2400000000000002</v>
      </c>
      <c r="C25" s="14">
        <v>26.63</v>
      </c>
      <c r="D25" s="14">
        <v>1.1200000000000001</v>
      </c>
      <c r="E25" s="14">
        <v>7.15</v>
      </c>
      <c r="F25" s="12"/>
      <c r="G25" s="14"/>
    </row>
    <row r="26" spans="1:7" ht="19.5" customHeight="1" x14ac:dyDescent="0.2">
      <c r="A26" s="10" t="s">
        <v>53</v>
      </c>
      <c r="B26" s="11">
        <v>1.03</v>
      </c>
      <c r="C26" s="11">
        <v>23.81</v>
      </c>
      <c r="D26" s="11">
        <v>0.38</v>
      </c>
      <c r="E26" s="11">
        <v>5.62</v>
      </c>
      <c r="F26" s="12"/>
      <c r="G26" s="11"/>
    </row>
    <row r="27" spans="1:7" ht="19.5" customHeight="1" x14ac:dyDescent="0.2">
      <c r="A27" s="13" t="s">
        <v>54</v>
      </c>
      <c r="B27" s="14">
        <v>4.28</v>
      </c>
      <c r="C27" s="14">
        <v>23.43</v>
      </c>
      <c r="D27" s="14">
        <v>3.18</v>
      </c>
      <c r="E27" s="14">
        <v>6.7</v>
      </c>
      <c r="F27" s="12"/>
      <c r="G27" s="14" t="s">
        <v>55</v>
      </c>
    </row>
    <row r="29" spans="1:7" x14ac:dyDescent="0.2">
      <c r="A29" s="1" t="s">
        <v>56</v>
      </c>
      <c r="B29" s="1"/>
      <c r="C29" s="1"/>
      <c r="D29" s="1"/>
      <c r="E29" s="1"/>
      <c r="F29" s="1"/>
      <c r="G29" s="1"/>
    </row>
  </sheetData>
  <mergeCells count="3">
    <mergeCell ref="A1:G1"/>
    <mergeCell ref="A2:G2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baseColWidth="10" defaultColWidth="8.6640625" defaultRowHeight="15" x14ac:dyDescent="0.2"/>
  <cols>
    <col min="1" max="1" width="18" customWidth="1"/>
    <col min="2" max="3" width="16" customWidth="1"/>
    <col min="4" max="4" width="18" customWidth="1"/>
    <col min="5" max="6" width="14" customWidth="1"/>
    <col min="7" max="7" width="25" customWidth="1"/>
  </cols>
  <sheetData>
    <row r="1" spans="1:7" ht="31.5" customHeight="1" x14ac:dyDescent="0.2">
      <c r="A1" s="3" t="s">
        <v>57</v>
      </c>
      <c r="B1" s="3"/>
      <c r="C1" s="3"/>
      <c r="D1" s="3"/>
      <c r="E1" s="3"/>
      <c r="F1" s="3"/>
      <c r="G1" s="3"/>
    </row>
    <row r="2" spans="1:7" ht="18" customHeight="1" x14ac:dyDescent="0.2">
      <c r="A2" s="2" t="s">
        <v>58</v>
      </c>
      <c r="B2" s="2"/>
      <c r="C2" s="2"/>
      <c r="D2" s="2"/>
      <c r="E2" s="2"/>
      <c r="F2" s="2"/>
      <c r="G2" s="2"/>
    </row>
    <row r="3" spans="1:7" ht="27.75" customHeight="1" x14ac:dyDescent="0.2">
      <c r="A3" s="9" t="s">
        <v>24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30</v>
      </c>
    </row>
    <row r="4" spans="1:7" ht="19.5" customHeight="1" x14ac:dyDescent="0.2">
      <c r="A4" s="10" t="s">
        <v>31</v>
      </c>
      <c r="B4" s="11">
        <v>21.33</v>
      </c>
      <c r="C4" s="11">
        <v>27.18</v>
      </c>
      <c r="D4" s="15">
        <f t="shared" ref="D4:D26" si="0">B4-C4</f>
        <v>-5.8500000000000014</v>
      </c>
      <c r="E4" s="11">
        <v>6.7</v>
      </c>
      <c r="F4" s="11">
        <v>6.5</v>
      </c>
      <c r="G4" s="11"/>
    </row>
    <row r="5" spans="1:7" ht="19.5" customHeight="1" x14ac:dyDescent="0.2">
      <c r="A5" s="13" t="s">
        <v>32</v>
      </c>
      <c r="B5" s="14">
        <v>22.64</v>
      </c>
      <c r="C5" s="14">
        <v>29.54</v>
      </c>
      <c r="D5" s="16">
        <f t="shared" si="0"/>
        <v>-6.8999999999999986</v>
      </c>
      <c r="E5" s="14">
        <v>8.6</v>
      </c>
      <c r="F5" s="14">
        <v>8.3000000000000007</v>
      </c>
      <c r="G5" s="14"/>
    </row>
    <row r="6" spans="1:7" ht="19.5" customHeight="1" x14ac:dyDescent="0.2">
      <c r="A6" s="10" t="s">
        <v>33</v>
      </c>
      <c r="B6" s="11">
        <v>21.69</v>
      </c>
      <c r="C6" s="11">
        <v>29.87</v>
      </c>
      <c r="D6" s="15">
        <f t="shared" si="0"/>
        <v>-8.18</v>
      </c>
      <c r="E6" s="11">
        <v>1.8</v>
      </c>
      <c r="F6" s="11">
        <v>4</v>
      </c>
      <c r="G6" s="11"/>
    </row>
    <row r="7" spans="1:7" ht="19.5" customHeight="1" x14ac:dyDescent="0.2">
      <c r="A7" s="13" t="s">
        <v>34</v>
      </c>
      <c r="B7" s="14">
        <v>22.28</v>
      </c>
      <c r="C7" s="14">
        <v>30.18</v>
      </c>
      <c r="D7" s="16">
        <f t="shared" si="0"/>
        <v>-7.8999999999999986</v>
      </c>
      <c r="E7" s="14">
        <v>5.3</v>
      </c>
      <c r="F7" s="14">
        <v>3.4</v>
      </c>
      <c r="G7" s="14"/>
    </row>
    <row r="8" spans="1:7" ht="19.5" customHeight="1" x14ac:dyDescent="0.2">
      <c r="A8" s="10" t="s">
        <v>35</v>
      </c>
      <c r="B8" s="11">
        <v>19.47</v>
      </c>
      <c r="C8" s="11">
        <v>27.97</v>
      </c>
      <c r="D8" s="15">
        <f t="shared" si="0"/>
        <v>-8.5</v>
      </c>
      <c r="E8" s="11">
        <v>0.8</v>
      </c>
      <c r="F8" s="11">
        <v>3.6</v>
      </c>
      <c r="G8" s="11"/>
    </row>
    <row r="9" spans="1:7" ht="19.5" customHeight="1" x14ac:dyDescent="0.2">
      <c r="A9" s="13" t="s">
        <v>36</v>
      </c>
      <c r="B9" s="14">
        <v>24.02</v>
      </c>
      <c r="C9" s="14">
        <v>30.8</v>
      </c>
      <c r="D9" s="16">
        <f t="shared" si="0"/>
        <v>-6.7800000000000011</v>
      </c>
      <c r="E9" s="14">
        <v>3.9</v>
      </c>
      <c r="F9" s="14">
        <v>2.2999999999999998</v>
      </c>
      <c r="G9" s="14"/>
    </row>
    <row r="10" spans="1:7" ht="19.5" customHeight="1" x14ac:dyDescent="0.2">
      <c r="A10" s="10" t="s">
        <v>37</v>
      </c>
      <c r="B10" s="11">
        <v>22.01</v>
      </c>
      <c r="C10" s="11">
        <v>27.01</v>
      </c>
      <c r="D10" s="15">
        <f t="shared" si="0"/>
        <v>-5</v>
      </c>
      <c r="E10" s="11">
        <v>6.5</v>
      </c>
      <c r="F10" s="11">
        <v>2.5</v>
      </c>
      <c r="G10" s="11"/>
    </row>
    <row r="11" spans="1:7" ht="19.5" customHeight="1" x14ac:dyDescent="0.2">
      <c r="A11" s="13" t="s">
        <v>38</v>
      </c>
      <c r="B11" s="14">
        <v>21.95</v>
      </c>
      <c r="C11" s="14">
        <v>27.1</v>
      </c>
      <c r="D11" s="16">
        <f t="shared" si="0"/>
        <v>-5.1500000000000021</v>
      </c>
      <c r="E11" s="14">
        <v>7.2</v>
      </c>
      <c r="F11" s="14">
        <v>0.4</v>
      </c>
      <c r="G11" s="14"/>
    </row>
    <row r="12" spans="1:7" ht="19.5" customHeight="1" x14ac:dyDescent="0.2">
      <c r="A12" s="10" t="s">
        <v>39</v>
      </c>
      <c r="B12" s="11">
        <v>23.46</v>
      </c>
      <c r="C12" s="11">
        <v>29.38</v>
      </c>
      <c r="D12" s="15">
        <f t="shared" si="0"/>
        <v>-5.9199999999999982</v>
      </c>
      <c r="E12" s="11">
        <v>-4.9000000000000004</v>
      </c>
      <c r="F12" s="11">
        <v>7.4</v>
      </c>
      <c r="G12" s="11"/>
    </row>
    <row r="13" spans="1:7" ht="19.5" customHeight="1" x14ac:dyDescent="0.2">
      <c r="A13" s="13" t="s">
        <v>40</v>
      </c>
      <c r="B13" s="14">
        <v>22.75</v>
      </c>
      <c r="C13" s="14">
        <v>29.3</v>
      </c>
      <c r="D13" s="16">
        <f t="shared" si="0"/>
        <v>-6.5500000000000007</v>
      </c>
      <c r="E13" s="14">
        <v>8.6999999999999993</v>
      </c>
      <c r="F13" s="14">
        <v>4.8</v>
      </c>
      <c r="G13" s="14"/>
    </row>
    <row r="14" spans="1:7" ht="19.5" customHeight="1" x14ac:dyDescent="0.2">
      <c r="A14" s="10" t="s">
        <v>41</v>
      </c>
      <c r="B14" s="11">
        <v>25.44</v>
      </c>
      <c r="C14" s="11">
        <v>34.369999999999997</v>
      </c>
      <c r="D14" s="15">
        <f t="shared" si="0"/>
        <v>-8.9299999999999962</v>
      </c>
      <c r="E14" s="11">
        <v>14.7</v>
      </c>
      <c r="F14" s="11">
        <v>18.7</v>
      </c>
      <c r="G14" s="11"/>
    </row>
    <row r="15" spans="1:7" ht="19.5" customHeight="1" x14ac:dyDescent="0.2">
      <c r="A15" s="13" t="s">
        <v>42</v>
      </c>
      <c r="B15" s="14">
        <v>20.079999999999998</v>
      </c>
      <c r="C15" s="14">
        <v>27.34</v>
      </c>
      <c r="D15" s="16">
        <f t="shared" si="0"/>
        <v>-7.2600000000000016</v>
      </c>
      <c r="E15" s="14">
        <v>-5.0999999999999996</v>
      </c>
      <c r="F15" s="14">
        <v>5.3</v>
      </c>
      <c r="G15" s="14"/>
    </row>
    <row r="16" spans="1:7" ht="19.5" customHeight="1" x14ac:dyDescent="0.2">
      <c r="A16" s="10" t="s">
        <v>43</v>
      </c>
      <c r="B16" s="11">
        <v>21.16</v>
      </c>
      <c r="C16" s="11">
        <v>28.85</v>
      </c>
      <c r="D16" s="15">
        <f t="shared" si="0"/>
        <v>-7.6900000000000013</v>
      </c>
      <c r="E16" s="11">
        <v>-0.8</v>
      </c>
      <c r="F16" s="11">
        <v>6.2</v>
      </c>
      <c r="G16" s="11" t="s">
        <v>64</v>
      </c>
    </row>
    <row r="17" spans="1:7" ht="19.5" customHeight="1" x14ac:dyDescent="0.2">
      <c r="A17" s="13" t="s">
        <v>44</v>
      </c>
      <c r="B17" s="14">
        <v>23.39</v>
      </c>
      <c r="C17" s="14">
        <v>30.65</v>
      </c>
      <c r="D17" s="16">
        <f t="shared" si="0"/>
        <v>-7.259999999999998</v>
      </c>
      <c r="E17" s="14">
        <v>3.3</v>
      </c>
      <c r="F17" s="14">
        <v>3.7</v>
      </c>
      <c r="G17" s="14"/>
    </row>
    <row r="18" spans="1:7" ht="19.5" customHeight="1" x14ac:dyDescent="0.2">
      <c r="A18" s="10" t="s">
        <v>45</v>
      </c>
      <c r="B18" s="11">
        <v>21.73</v>
      </c>
      <c r="C18" s="11">
        <v>28.51</v>
      </c>
      <c r="D18" s="15">
        <f t="shared" si="0"/>
        <v>-6.7800000000000011</v>
      </c>
      <c r="E18" s="11">
        <v>0.2</v>
      </c>
      <c r="F18" s="11">
        <v>-4.5</v>
      </c>
      <c r="G18" s="11"/>
    </row>
    <row r="19" spans="1:7" ht="19.5" customHeight="1" x14ac:dyDescent="0.2">
      <c r="A19" s="13" t="s">
        <v>46</v>
      </c>
      <c r="B19" s="14">
        <v>19.73</v>
      </c>
      <c r="C19" s="14">
        <v>27.55</v>
      </c>
      <c r="D19" s="16">
        <f t="shared" si="0"/>
        <v>-7.82</v>
      </c>
      <c r="E19" s="14">
        <v>-11.4</v>
      </c>
      <c r="F19" s="14">
        <v>-8.6999999999999993</v>
      </c>
      <c r="G19" s="14"/>
    </row>
    <row r="20" spans="1:7" ht="19.5" customHeight="1" x14ac:dyDescent="0.2">
      <c r="A20" s="10" t="s">
        <v>47</v>
      </c>
      <c r="B20" s="11">
        <v>20.54</v>
      </c>
      <c r="C20" s="11">
        <v>28.71</v>
      </c>
      <c r="D20" s="15">
        <f t="shared" si="0"/>
        <v>-8.1700000000000017</v>
      </c>
      <c r="E20" s="11">
        <v>5.5</v>
      </c>
      <c r="F20" s="11">
        <v>2.6</v>
      </c>
      <c r="G20" s="11"/>
    </row>
    <row r="21" spans="1:7" ht="19.5" customHeight="1" x14ac:dyDescent="0.2">
      <c r="A21" s="13" t="s">
        <v>48</v>
      </c>
      <c r="B21" s="14">
        <v>24.95</v>
      </c>
      <c r="C21" s="14">
        <v>31.38</v>
      </c>
      <c r="D21" s="16">
        <f t="shared" si="0"/>
        <v>-6.43</v>
      </c>
      <c r="E21" s="14">
        <v>3.9</v>
      </c>
      <c r="F21" s="14">
        <v>1.9</v>
      </c>
      <c r="G21" s="14"/>
    </row>
    <row r="22" spans="1:7" ht="19.5" customHeight="1" x14ac:dyDescent="0.2">
      <c r="A22" s="10" t="s">
        <v>49</v>
      </c>
      <c r="B22" s="11">
        <v>21.8</v>
      </c>
      <c r="C22" s="11">
        <v>25.96</v>
      </c>
      <c r="D22" s="15">
        <f t="shared" si="0"/>
        <v>-4.16</v>
      </c>
      <c r="E22" s="11">
        <v>-0.9</v>
      </c>
      <c r="F22" s="11">
        <v>-3.9</v>
      </c>
      <c r="G22" s="11"/>
    </row>
    <row r="23" spans="1:7" ht="19.5" customHeight="1" x14ac:dyDescent="0.2">
      <c r="A23" s="13" t="s">
        <v>50</v>
      </c>
      <c r="B23" s="14">
        <v>22.61</v>
      </c>
      <c r="C23" s="14">
        <v>29.49</v>
      </c>
      <c r="D23" s="16">
        <f t="shared" si="0"/>
        <v>-6.879999999999999</v>
      </c>
      <c r="E23" s="14">
        <v>3</v>
      </c>
      <c r="F23" s="14">
        <v>8.8000000000000007</v>
      </c>
      <c r="G23" s="14"/>
    </row>
    <row r="24" spans="1:7" ht="19.5" customHeight="1" x14ac:dyDescent="0.2">
      <c r="A24" s="10" t="s">
        <v>51</v>
      </c>
      <c r="B24" s="11">
        <v>24</v>
      </c>
      <c r="C24" s="11">
        <v>31.36</v>
      </c>
      <c r="D24" s="15">
        <f t="shared" si="0"/>
        <v>-7.3599999999999994</v>
      </c>
      <c r="E24" s="11">
        <v>2.2999999999999998</v>
      </c>
      <c r="F24" s="11">
        <v>6.6</v>
      </c>
      <c r="G24" s="11"/>
    </row>
    <row r="25" spans="1:7" ht="19.5" customHeight="1" x14ac:dyDescent="0.2">
      <c r="A25" s="13" t="s">
        <v>52</v>
      </c>
      <c r="B25" s="14">
        <v>23.58</v>
      </c>
      <c r="C25" s="14">
        <v>30.07</v>
      </c>
      <c r="D25" s="16">
        <f t="shared" si="0"/>
        <v>-6.490000000000002</v>
      </c>
      <c r="E25" s="14">
        <v>3.6</v>
      </c>
      <c r="F25" s="14">
        <v>2.7</v>
      </c>
      <c r="G25" s="14"/>
    </row>
    <row r="26" spans="1:7" ht="19.5" customHeight="1" x14ac:dyDescent="0.2">
      <c r="A26" s="10" t="s">
        <v>53</v>
      </c>
      <c r="B26" s="11">
        <v>26.41</v>
      </c>
      <c r="C26" s="11">
        <v>35.83</v>
      </c>
      <c r="D26" s="15">
        <f t="shared" si="0"/>
        <v>-9.4199999999999982</v>
      </c>
      <c r="E26" s="11">
        <v>3.8</v>
      </c>
      <c r="F26" s="11">
        <v>4.2</v>
      </c>
      <c r="G26" s="11"/>
    </row>
    <row r="27" spans="1:7" ht="19.5" customHeight="1" x14ac:dyDescent="0.2">
      <c r="A27" s="13" t="s">
        <v>54</v>
      </c>
      <c r="B27" s="12"/>
      <c r="C27" s="12"/>
      <c r="D27" s="14"/>
      <c r="E27" s="12"/>
      <c r="F27" s="12"/>
      <c r="G27" s="14" t="s">
        <v>65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baseColWidth="10" defaultColWidth="8.6640625" defaultRowHeight="15" x14ac:dyDescent="0.2"/>
  <cols>
    <col min="1" max="1" width="18" customWidth="1"/>
    <col min="2" max="4" width="20" customWidth="1"/>
    <col min="5" max="6" width="12" customWidth="1"/>
    <col min="7" max="7" width="25" customWidth="1"/>
  </cols>
  <sheetData>
    <row r="1" spans="1:7" ht="31.5" customHeight="1" x14ac:dyDescent="0.2">
      <c r="A1" s="3" t="s">
        <v>66</v>
      </c>
      <c r="B1" s="3"/>
      <c r="C1" s="3"/>
      <c r="D1" s="3"/>
      <c r="E1" s="3"/>
      <c r="F1" s="3"/>
      <c r="G1" s="3"/>
    </row>
    <row r="2" spans="1:7" ht="15" customHeight="1" x14ac:dyDescent="0.2">
      <c r="A2" s="2" t="s">
        <v>67</v>
      </c>
      <c r="B2" s="2"/>
      <c r="C2" s="2"/>
      <c r="D2" s="2"/>
      <c r="E2" s="2"/>
      <c r="F2" s="2"/>
      <c r="G2" s="2"/>
    </row>
    <row r="3" spans="1:7" ht="27.75" customHeight="1" x14ac:dyDescent="0.2">
      <c r="A3" s="9" t="s">
        <v>24</v>
      </c>
      <c r="B3" s="9" t="s">
        <v>68</v>
      </c>
      <c r="C3" s="9" t="s">
        <v>69</v>
      </c>
      <c r="D3" s="9" t="s">
        <v>70</v>
      </c>
      <c r="E3" s="9" t="s">
        <v>71</v>
      </c>
      <c r="F3" s="9" t="s">
        <v>72</v>
      </c>
      <c r="G3" s="9" t="s">
        <v>30</v>
      </c>
    </row>
    <row r="4" spans="1:7" ht="19.5" customHeight="1" x14ac:dyDescent="0.2">
      <c r="A4" s="10" t="s">
        <v>31</v>
      </c>
      <c r="B4" s="11">
        <v>9821</v>
      </c>
      <c r="C4" s="11">
        <v>1456</v>
      </c>
      <c r="D4" s="11">
        <v>11234</v>
      </c>
      <c r="E4" s="11">
        <v>1.62</v>
      </c>
      <c r="F4" s="11">
        <v>87.4</v>
      </c>
      <c r="G4" s="11"/>
    </row>
    <row r="5" spans="1:7" ht="19.5" customHeight="1" x14ac:dyDescent="0.2">
      <c r="A5" s="13" t="s">
        <v>32</v>
      </c>
      <c r="B5" s="14">
        <v>10124</v>
      </c>
      <c r="C5" s="14">
        <v>1512</v>
      </c>
      <c r="D5" s="14">
        <v>11567</v>
      </c>
      <c r="E5" s="14">
        <v>1.58</v>
      </c>
      <c r="F5" s="14">
        <v>87.5</v>
      </c>
      <c r="G5" s="14"/>
    </row>
    <row r="6" spans="1:7" ht="19.5" customHeight="1" x14ac:dyDescent="0.2">
      <c r="A6" s="10" t="s">
        <v>33</v>
      </c>
      <c r="B6" s="11">
        <v>10389</v>
      </c>
      <c r="C6" s="11">
        <v>1543</v>
      </c>
      <c r="D6" s="11">
        <v>11834</v>
      </c>
      <c r="E6" s="11">
        <v>1.6</v>
      </c>
      <c r="F6" s="11">
        <v>87.8</v>
      </c>
      <c r="G6" s="11"/>
    </row>
    <row r="7" spans="1:7" ht="19.5" customHeight="1" x14ac:dyDescent="0.2">
      <c r="A7" s="13" t="s">
        <v>34</v>
      </c>
      <c r="B7" s="14">
        <v>10612</v>
      </c>
      <c r="C7" s="14">
        <v>1587</v>
      </c>
      <c r="D7" s="14">
        <v>12234</v>
      </c>
      <c r="E7" s="14">
        <v>1.59</v>
      </c>
      <c r="F7" s="14">
        <v>86.8</v>
      </c>
      <c r="G7" s="14"/>
    </row>
    <row r="8" spans="1:7" ht="19.5" customHeight="1" x14ac:dyDescent="0.2">
      <c r="A8" s="10" t="s">
        <v>35</v>
      </c>
      <c r="B8" s="11">
        <v>10934</v>
      </c>
      <c r="C8" s="11">
        <v>1634</v>
      </c>
      <c r="D8" s="11">
        <v>12567</v>
      </c>
      <c r="E8" s="11">
        <v>1.58</v>
      </c>
      <c r="F8" s="11">
        <v>87</v>
      </c>
      <c r="G8" s="11"/>
    </row>
    <row r="9" spans="1:7" ht="19.5" customHeight="1" x14ac:dyDescent="0.2">
      <c r="A9" s="13" t="s">
        <v>36</v>
      </c>
      <c r="B9" s="14">
        <v>11245</v>
      </c>
      <c r="C9" s="14">
        <v>1678</v>
      </c>
      <c r="D9" s="14">
        <v>12934</v>
      </c>
      <c r="E9" s="14">
        <v>1.57</v>
      </c>
      <c r="F9" s="14">
        <v>86.9</v>
      </c>
      <c r="G9" s="14"/>
    </row>
    <row r="10" spans="1:7" ht="19.5" customHeight="1" x14ac:dyDescent="0.2">
      <c r="A10" s="10" t="s">
        <v>37</v>
      </c>
      <c r="B10" s="11">
        <v>11567</v>
      </c>
      <c r="C10" s="11">
        <v>1723</v>
      </c>
      <c r="D10" s="11">
        <v>13234</v>
      </c>
      <c r="E10" s="11">
        <v>1.59</v>
      </c>
      <c r="F10" s="11">
        <v>87.4</v>
      </c>
      <c r="G10" s="11"/>
    </row>
    <row r="11" spans="1:7" ht="19.5" customHeight="1" x14ac:dyDescent="0.2">
      <c r="A11" s="13" t="s">
        <v>38</v>
      </c>
      <c r="B11" s="14">
        <v>11834</v>
      </c>
      <c r="C11" s="14">
        <v>1756</v>
      </c>
      <c r="D11" s="14">
        <v>13567</v>
      </c>
      <c r="E11" s="14">
        <v>1.61</v>
      </c>
      <c r="F11" s="14">
        <v>87.2</v>
      </c>
      <c r="G11" s="14"/>
    </row>
    <row r="12" spans="1:7" ht="19.5" customHeight="1" x14ac:dyDescent="0.2">
      <c r="A12" s="10" t="s">
        <v>39</v>
      </c>
      <c r="B12" s="11">
        <v>12123</v>
      </c>
      <c r="C12" s="11">
        <v>1798</v>
      </c>
      <c r="D12" s="11">
        <v>13934</v>
      </c>
      <c r="E12" s="11">
        <v>1.63</v>
      </c>
      <c r="F12" s="11">
        <v>87</v>
      </c>
      <c r="G12" s="11"/>
    </row>
    <row r="13" spans="1:7" ht="19.5" customHeight="1" x14ac:dyDescent="0.2">
      <c r="A13" s="13" t="s">
        <v>40</v>
      </c>
      <c r="B13" s="14">
        <v>12456</v>
      </c>
      <c r="C13" s="14">
        <v>1834</v>
      </c>
      <c r="D13" s="14">
        <v>14267</v>
      </c>
      <c r="E13" s="14">
        <v>1.65</v>
      </c>
      <c r="F13" s="14">
        <v>87.3</v>
      </c>
      <c r="G13" s="14"/>
    </row>
    <row r="14" spans="1:7" ht="19.5" customHeight="1" x14ac:dyDescent="0.2">
      <c r="A14" s="10" t="s">
        <v>41</v>
      </c>
      <c r="B14" s="11">
        <v>12834</v>
      </c>
      <c r="C14" s="11">
        <v>1890</v>
      </c>
      <c r="D14" s="11">
        <v>14634</v>
      </c>
      <c r="E14" s="11">
        <v>1.67</v>
      </c>
      <c r="F14" s="11">
        <v>87.7</v>
      </c>
      <c r="G14" s="11"/>
    </row>
    <row r="15" spans="1:7" ht="19.5" customHeight="1" x14ac:dyDescent="0.2">
      <c r="A15" s="13" t="s">
        <v>42</v>
      </c>
      <c r="B15" s="14">
        <v>13123</v>
      </c>
      <c r="C15" s="14">
        <v>1923</v>
      </c>
      <c r="D15" s="14">
        <v>14967</v>
      </c>
      <c r="E15" s="14">
        <v>1.69</v>
      </c>
      <c r="F15" s="14">
        <v>87.6</v>
      </c>
      <c r="G15" s="14"/>
    </row>
    <row r="16" spans="1:7" ht="19.5" customHeight="1" x14ac:dyDescent="0.2">
      <c r="A16" s="10" t="s">
        <v>43</v>
      </c>
      <c r="B16" s="11">
        <v>13456</v>
      </c>
      <c r="C16" s="11">
        <v>1967</v>
      </c>
      <c r="D16" s="11">
        <v>15334</v>
      </c>
      <c r="E16" s="11">
        <v>1.71</v>
      </c>
      <c r="F16" s="11">
        <v>87.8</v>
      </c>
      <c r="G16" s="11"/>
    </row>
    <row r="17" spans="1:7" ht="19.5" customHeight="1" x14ac:dyDescent="0.2">
      <c r="A17" s="13" t="s">
        <v>44</v>
      </c>
      <c r="B17" s="14">
        <v>13789</v>
      </c>
      <c r="C17" s="14">
        <v>2012</v>
      </c>
      <c r="D17" s="14">
        <v>15734</v>
      </c>
      <c r="E17" s="14">
        <v>1.73</v>
      </c>
      <c r="F17" s="14">
        <v>87.7</v>
      </c>
      <c r="G17" s="14"/>
    </row>
    <row r="18" spans="1:7" ht="19.5" customHeight="1" x14ac:dyDescent="0.2">
      <c r="A18" s="10" t="s">
        <v>45</v>
      </c>
      <c r="B18" s="11">
        <v>14123</v>
      </c>
      <c r="C18" s="11">
        <v>2056</v>
      </c>
      <c r="D18" s="11">
        <v>16134</v>
      </c>
      <c r="E18" s="11">
        <v>1.75</v>
      </c>
      <c r="F18" s="11">
        <v>87.5</v>
      </c>
      <c r="G18" s="11"/>
    </row>
    <row r="19" spans="1:7" ht="19.5" customHeight="1" x14ac:dyDescent="0.2">
      <c r="A19" s="13" t="s">
        <v>46</v>
      </c>
      <c r="B19" s="14">
        <v>14456</v>
      </c>
      <c r="C19" s="14">
        <v>2098</v>
      </c>
      <c r="D19" s="14">
        <v>16534</v>
      </c>
      <c r="E19" s="14">
        <v>1.77</v>
      </c>
      <c r="F19" s="14">
        <v>87.4</v>
      </c>
      <c r="G19" s="14"/>
    </row>
    <row r="20" spans="1:7" ht="19.5" customHeight="1" x14ac:dyDescent="0.2">
      <c r="A20" s="10" t="s">
        <v>47</v>
      </c>
      <c r="B20" s="11">
        <v>14823</v>
      </c>
      <c r="C20" s="11">
        <v>2145</v>
      </c>
      <c r="D20" s="11">
        <v>16967</v>
      </c>
      <c r="E20" s="11">
        <v>1.79</v>
      </c>
      <c r="F20" s="11">
        <v>87.3</v>
      </c>
      <c r="G20" s="11"/>
    </row>
    <row r="21" spans="1:7" ht="19.5" customHeight="1" x14ac:dyDescent="0.2">
      <c r="A21" s="13" t="s">
        <v>48</v>
      </c>
      <c r="B21" s="14">
        <v>15234</v>
      </c>
      <c r="C21" s="14">
        <v>2198</v>
      </c>
      <c r="D21" s="14">
        <v>17434</v>
      </c>
      <c r="E21" s="14">
        <v>1.81</v>
      </c>
      <c r="F21" s="14">
        <v>87.4</v>
      </c>
      <c r="G21" s="14"/>
    </row>
    <row r="22" spans="1:7" ht="19.5" customHeight="1" x14ac:dyDescent="0.2">
      <c r="A22" s="10" t="s">
        <v>49</v>
      </c>
      <c r="B22" s="11">
        <v>15612</v>
      </c>
      <c r="C22" s="11">
        <v>2245</v>
      </c>
      <c r="D22" s="11">
        <v>17867</v>
      </c>
      <c r="E22" s="11">
        <v>1.82</v>
      </c>
      <c r="F22" s="11">
        <v>87.4</v>
      </c>
      <c r="G22" s="11"/>
    </row>
    <row r="23" spans="1:7" ht="19.5" customHeight="1" x14ac:dyDescent="0.2">
      <c r="A23" s="13" t="s">
        <v>50</v>
      </c>
      <c r="B23" s="14">
        <v>16023</v>
      </c>
      <c r="C23" s="14">
        <v>2298</v>
      </c>
      <c r="D23" s="14">
        <v>18334</v>
      </c>
      <c r="E23" s="14">
        <v>1.83</v>
      </c>
      <c r="F23" s="14">
        <v>87.4</v>
      </c>
      <c r="G23" s="14"/>
    </row>
    <row r="24" spans="1:7" ht="19.5" customHeight="1" x14ac:dyDescent="0.2">
      <c r="A24" s="10" t="s">
        <v>51</v>
      </c>
      <c r="B24" s="11">
        <v>16456</v>
      </c>
      <c r="C24" s="11">
        <v>2356</v>
      </c>
      <c r="D24" s="11">
        <v>18834</v>
      </c>
      <c r="E24" s="11">
        <v>1.84</v>
      </c>
      <c r="F24" s="11">
        <v>87.4</v>
      </c>
      <c r="G24" s="11"/>
    </row>
    <row r="25" spans="1:7" ht="19.5" customHeight="1" x14ac:dyDescent="0.2">
      <c r="A25" s="13" t="s">
        <v>52</v>
      </c>
      <c r="B25" s="14">
        <v>16867</v>
      </c>
      <c r="C25" s="14">
        <v>2412</v>
      </c>
      <c r="D25" s="14">
        <v>19312</v>
      </c>
      <c r="E25" s="14">
        <v>1.85</v>
      </c>
      <c r="F25" s="14">
        <v>87.4</v>
      </c>
      <c r="G25" s="14"/>
    </row>
    <row r="26" spans="1:7" ht="19.5" customHeight="1" x14ac:dyDescent="0.2">
      <c r="A26" s="10" t="s">
        <v>53</v>
      </c>
      <c r="B26" s="11">
        <v>17312</v>
      </c>
      <c r="C26" s="11">
        <v>2467</v>
      </c>
      <c r="D26" s="11">
        <v>19823</v>
      </c>
      <c r="E26" s="11">
        <v>1.86</v>
      </c>
      <c r="F26" s="11">
        <v>87.3</v>
      </c>
      <c r="G26" s="11"/>
    </row>
    <row r="27" spans="1:7" ht="19.5" customHeight="1" x14ac:dyDescent="0.2">
      <c r="A27" s="13" t="s">
        <v>54</v>
      </c>
      <c r="B27" s="12"/>
      <c r="C27" s="12"/>
      <c r="D27" s="12"/>
      <c r="E27" s="12"/>
      <c r="F27" s="12"/>
      <c r="G27" s="14" t="s">
        <v>73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16" customWidth="1"/>
    <col min="4" max="4" width="18" customWidth="1"/>
    <col min="5" max="5" width="16" customWidth="1"/>
    <col min="6" max="6" width="18" customWidth="1"/>
    <col min="7" max="7" width="16" customWidth="1"/>
    <col min="8" max="8" width="25" customWidth="1"/>
  </cols>
  <sheetData>
    <row r="1" spans="1:8" ht="31.5" customHeight="1" x14ac:dyDescent="0.2">
      <c r="A1" s="3" t="s">
        <v>74</v>
      </c>
      <c r="B1" s="3"/>
      <c r="C1" s="3"/>
      <c r="D1" s="3"/>
      <c r="E1" s="3"/>
      <c r="F1" s="3"/>
      <c r="G1" s="3"/>
      <c r="H1" s="3"/>
    </row>
    <row r="2" spans="1:8" ht="15" customHeight="1" x14ac:dyDescent="0.2">
      <c r="A2" s="2" t="s">
        <v>75</v>
      </c>
      <c r="B2" s="2"/>
      <c r="C2" s="2"/>
      <c r="D2" s="2"/>
      <c r="E2" s="2"/>
      <c r="F2" s="2"/>
      <c r="G2" s="2"/>
      <c r="H2" s="2"/>
    </row>
    <row r="3" spans="1:8" ht="27.75" customHeight="1" x14ac:dyDescent="0.2">
      <c r="A3" s="9" t="s">
        <v>24</v>
      </c>
      <c r="B3" s="9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30</v>
      </c>
    </row>
    <row r="4" spans="1:8" ht="19.5" customHeight="1" x14ac:dyDescent="0.2">
      <c r="A4" s="10" t="s">
        <v>31</v>
      </c>
      <c r="B4" s="11">
        <v>8.6999999999999993</v>
      </c>
      <c r="C4" s="11">
        <v>18.2</v>
      </c>
      <c r="D4" s="11">
        <v>145.19999999999999</v>
      </c>
      <c r="E4" s="11">
        <v>32.1</v>
      </c>
      <c r="F4" s="11">
        <v>-2840</v>
      </c>
      <c r="G4" s="11">
        <v>45</v>
      </c>
      <c r="H4" s="11"/>
    </row>
    <row r="5" spans="1:8" ht="19.5" customHeight="1" x14ac:dyDescent="0.2">
      <c r="A5" s="13" t="s">
        <v>32</v>
      </c>
      <c r="B5" s="14">
        <v>9</v>
      </c>
      <c r="C5" s="14">
        <v>18.7</v>
      </c>
      <c r="D5" s="14">
        <v>148.30000000000001</v>
      </c>
      <c r="E5" s="14">
        <v>33.5</v>
      </c>
      <c r="F5" s="14">
        <v>-3120</v>
      </c>
      <c r="G5" s="14">
        <v>50</v>
      </c>
      <c r="H5" s="14"/>
    </row>
    <row r="6" spans="1:8" ht="19.5" customHeight="1" x14ac:dyDescent="0.2">
      <c r="A6" s="10" t="s">
        <v>33</v>
      </c>
      <c r="B6" s="11">
        <v>9.1999999999999993</v>
      </c>
      <c r="C6" s="11">
        <v>19.100000000000001</v>
      </c>
      <c r="D6" s="11">
        <v>152.1</v>
      </c>
      <c r="E6" s="11">
        <v>35.200000000000003</v>
      </c>
      <c r="F6" s="11">
        <v>-2980</v>
      </c>
      <c r="G6" s="11">
        <v>50</v>
      </c>
      <c r="H6" s="11"/>
    </row>
    <row r="7" spans="1:8" ht="19.5" customHeight="1" x14ac:dyDescent="0.2">
      <c r="A7" s="13" t="s">
        <v>34</v>
      </c>
      <c r="B7" s="14">
        <v>9.1</v>
      </c>
      <c r="C7" s="14">
        <v>18.899999999999999</v>
      </c>
      <c r="D7" s="14">
        <v>156.4</v>
      </c>
      <c r="E7" s="14">
        <v>37.799999999999997</v>
      </c>
      <c r="F7" s="14">
        <v>-2450</v>
      </c>
      <c r="G7" s="14">
        <v>50</v>
      </c>
      <c r="H7" s="14"/>
    </row>
    <row r="8" spans="1:8" ht="19.5" customHeight="1" x14ac:dyDescent="0.2">
      <c r="A8" s="10" t="s">
        <v>35</v>
      </c>
      <c r="B8" s="11">
        <v>8.8000000000000007</v>
      </c>
      <c r="C8" s="11">
        <v>18.5</v>
      </c>
      <c r="D8" s="11">
        <v>158.9</v>
      </c>
      <c r="E8" s="11">
        <v>39.4</v>
      </c>
      <c r="F8" s="11">
        <v>-1870</v>
      </c>
      <c r="G8" s="11">
        <v>50</v>
      </c>
      <c r="H8" s="11"/>
    </row>
    <row r="9" spans="1:8" ht="19.5" customHeight="1" x14ac:dyDescent="0.2">
      <c r="A9" s="13" t="s">
        <v>36</v>
      </c>
      <c r="B9" s="14">
        <v>8.6</v>
      </c>
      <c r="C9" s="14">
        <v>18.2</v>
      </c>
      <c r="D9" s="14">
        <v>162.30000000000001</v>
      </c>
      <c r="E9" s="14">
        <v>41.2</v>
      </c>
      <c r="F9" s="14">
        <v>-1340</v>
      </c>
      <c r="G9" s="14">
        <v>50</v>
      </c>
      <c r="H9" s="14"/>
    </row>
    <row r="10" spans="1:8" ht="19.5" customHeight="1" x14ac:dyDescent="0.2">
      <c r="A10" s="10" t="s">
        <v>37</v>
      </c>
      <c r="B10" s="11">
        <v>8.5</v>
      </c>
      <c r="C10" s="11">
        <v>17.899999999999999</v>
      </c>
      <c r="D10" s="11">
        <v>165.7</v>
      </c>
      <c r="E10" s="11">
        <v>43.1</v>
      </c>
      <c r="F10" s="11">
        <v>-980</v>
      </c>
      <c r="G10" s="11">
        <v>50</v>
      </c>
      <c r="H10" s="11"/>
    </row>
    <row r="11" spans="1:8" ht="19.5" customHeight="1" x14ac:dyDescent="0.2">
      <c r="A11" s="13" t="s">
        <v>38</v>
      </c>
      <c r="B11" s="14">
        <v>8.4</v>
      </c>
      <c r="C11" s="14">
        <v>17.7</v>
      </c>
      <c r="D11" s="14">
        <v>168.2</v>
      </c>
      <c r="E11" s="14">
        <v>44.8</v>
      </c>
      <c r="F11" s="14">
        <v>-750</v>
      </c>
      <c r="G11" s="14">
        <v>50</v>
      </c>
      <c r="H11" s="14"/>
    </row>
    <row r="12" spans="1:8" ht="19.5" customHeight="1" x14ac:dyDescent="0.2">
      <c r="A12" s="10" t="s">
        <v>39</v>
      </c>
      <c r="B12" s="11">
        <v>8.6</v>
      </c>
      <c r="C12" s="11">
        <v>18</v>
      </c>
      <c r="D12" s="11">
        <v>171.4</v>
      </c>
      <c r="E12" s="11">
        <v>46.3</v>
      </c>
      <c r="F12" s="11">
        <v>-1120</v>
      </c>
      <c r="G12" s="11">
        <v>50</v>
      </c>
      <c r="H12" s="11"/>
    </row>
    <row r="13" spans="1:8" ht="19.5" customHeight="1" x14ac:dyDescent="0.2">
      <c r="A13" s="13" t="s">
        <v>40</v>
      </c>
      <c r="B13" s="14">
        <v>8.8000000000000007</v>
      </c>
      <c r="C13" s="14">
        <v>18.399999999999999</v>
      </c>
      <c r="D13" s="14">
        <v>173.8</v>
      </c>
      <c r="E13" s="14">
        <v>47.9</v>
      </c>
      <c r="F13" s="14">
        <v>-1450</v>
      </c>
      <c r="G13" s="14">
        <v>47.5</v>
      </c>
      <c r="H13" s="14"/>
    </row>
    <row r="14" spans="1:8" ht="19.5" customHeight="1" x14ac:dyDescent="0.2">
      <c r="A14" s="10" t="s">
        <v>41</v>
      </c>
      <c r="B14" s="11">
        <v>8.5</v>
      </c>
      <c r="C14" s="11">
        <v>17.8</v>
      </c>
      <c r="D14" s="11">
        <v>177.2</v>
      </c>
      <c r="E14" s="11">
        <v>50.1</v>
      </c>
      <c r="F14" s="11">
        <v>-1820</v>
      </c>
      <c r="G14" s="11">
        <v>47.5</v>
      </c>
      <c r="H14" s="11"/>
    </row>
    <row r="15" spans="1:8" ht="19.5" customHeight="1" x14ac:dyDescent="0.2">
      <c r="A15" s="13" t="s">
        <v>42</v>
      </c>
      <c r="B15" s="14">
        <v>9.1999999999999993</v>
      </c>
      <c r="C15" s="14">
        <v>19.3</v>
      </c>
      <c r="D15" s="14">
        <v>179.8</v>
      </c>
      <c r="E15" s="14">
        <v>51.8</v>
      </c>
      <c r="F15" s="14">
        <v>-3210</v>
      </c>
      <c r="G15" s="14">
        <v>45</v>
      </c>
      <c r="H15" s="14"/>
    </row>
    <row r="16" spans="1:8" ht="19.5" customHeight="1" x14ac:dyDescent="0.2">
      <c r="A16" s="10" t="s">
        <v>43</v>
      </c>
      <c r="B16" s="11">
        <v>9.4</v>
      </c>
      <c r="C16" s="11">
        <v>19.600000000000001</v>
      </c>
      <c r="D16" s="11">
        <v>182.4</v>
      </c>
      <c r="E16" s="11">
        <v>53.2</v>
      </c>
      <c r="F16" s="11">
        <v>-2980</v>
      </c>
      <c r="G16" s="11">
        <v>42.5</v>
      </c>
      <c r="H16" s="11"/>
    </row>
    <row r="17" spans="1:8" ht="19.5" customHeight="1" x14ac:dyDescent="0.2">
      <c r="A17" s="13" t="s">
        <v>44</v>
      </c>
      <c r="B17" s="14">
        <v>9.3000000000000007</v>
      </c>
      <c r="C17" s="14">
        <v>19.399999999999999</v>
      </c>
      <c r="D17" s="14">
        <v>185.1</v>
      </c>
      <c r="E17" s="14">
        <v>54.9</v>
      </c>
      <c r="F17" s="14">
        <v>-2650</v>
      </c>
      <c r="G17" s="14">
        <v>42.5</v>
      </c>
      <c r="H17" s="14"/>
    </row>
    <row r="18" spans="1:8" ht="19.5" customHeight="1" x14ac:dyDescent="0.2">
      <c r="A18" s="10" t="s">
        <v>45</v>
      </c>
      <c r="B18" s="11">
        <v>9.1</v>
      </c>
      <c r="C18" s="11">
        <v>19</v>
      </c>
      <c r="D18" s="11">
        <v>187.6</v>
      </c>
      <c r="E18" s="11">
        <v>56.3</v>
      </c>
      <c r="F18" s="11">
        <v>-2340</v>
      </c>
      <c r="G18" s="11">
        <v>40</v>
      </c>
      <c r="H18" s="11"/>
    </row>
    <row r="19" spans="1:8" ht="19.5" customHeight="1" x14ac:dyDescent="0.2">
      <c r="A19" s="13" t="s">
        <v>46</v>
      </c>
      <c r="B19" s="14">
        <v>9</v>
      </c>
      <c r="C19" s="14">
        <v>18.8</v>
      </c>
      <c r="D19" s="14">
        <v>190.2</v>
      </c>
      <c r="E19" s="14">
        <v>58.1</v>
      </c>
      <c r="F19" s="14">
        <v>-1980</v>
      </c>
      <c r="G19" s="14">
        <v>40</v>
      </c>
      <c r="H19" s="14"/>
    </row>
    <row r="20" spans="1:8" ht="19.5" customHeight="1" x14ac:dyDescent="0.2">
      <c r="A20" s="10" t="s">
        <v>47</v>
      </c>
      <c r="B20" s="11">
        <v>8.8000000000000007</v>
      </c>
      <c r="C20" s="11">
        <v>18.5</v>
      </c>
      <c r="D20" s="11">
        <v>193.4</v>
      </c>
      <c r="E20" s="11">
        <v>59.8</v>
      </c>
      <c r="F20" s="11">
        <v>-1650</v>
      </c>
      <c r="G20" s="11">
        <v>38</v>
      </c>
      <c r="H20" s="11"/>
    </row>
    <row r="21" spans="1:8" ht="19.5" customHeight="1" x14ac:dyDescent="0.2">
      <c r="A21" s="13" t="s">
        <v>48</v>
      </c>
      <c r="B21" s="14">
        <v>8.6999999999999993</v>
      </c>
      <c r="C21" s="14">
        <v>18.3</v>
      </c>
      <c r="D21" s="14">
        <v>196.1</v>
      </c>
      <c r="E21" s="14">
        <v>61.4</v>
      </c>
      <c r="F21" s="14">
        <v>-1320</v>
      </c>
      <c r="G21" s="14">
        <v>38</v>
      </c>
      <c r="H21" s="14"/>
    </row>
    <row r="22" spans="1:8" ht="19.5" customHeight="1" x14ac:dyDescent="0.2">
      <c r="A22" s="10" t="s">
        <v>49</v>
      </c>
      <c r="B22" s="11">
        <v>8.6</v>
      </c>
      <c r="C22" s="11">
        <v>18.100000000000001</v>
      </c>
      <c r="D22" s="11">
        <v>198.7</v>
      </c>
      <c r="E22" s="11">
        <v>62.9</v>
      </c>
      <c r="F22" s="11">
        <v>-1050</v>
      </c>
      <c r="G22" s="11">
        <v>38</v>
      </c>
      <c r="H22" s="11"/>
    </row>
    <row r="23" spans="1:8" ht="19.5" customHeight="1" x14ac:dyDescent="0.2">
      <c r="A23" s="13" t="s">
        <v>50</v>
      </c>
      <c r="B23" s="14">
        <v>8.6</v>
      </c>
      <c r="C23" s="14">
        <v>18.2</v>
      </c>
      <c r="D23" s="14">
        <v>201.3</v>
      </c>
      <c r="E23" s="14">
        <v>64.5</v>
      </c>
      <c r="F23" s="14">
        <v>-890</v>
      </c>
      <c r="G23" s="14">
        <v>37</v>
      </c>
      <c r="H23" s="14"/>
    </row>
    <row r="24" spans="1:8" ht="19.5" customHeight="1" x14ac:dyDescent="0.2">
      <c r="A24" s="10" t="s">
        <v>51</v>
      </c>
      <c r="B24" s="11">
        <v>8.6999999999999993</v>
      </c>
      <c r="C24" s="11">
        <v>18.399999999999999</v>
      </c>
      <c r="D24" s="11">
        <v>203.8</v>
      </c>
      <c r="E24" s="11">
        <v>66</v>
      </c>
      <c r="F24" s="11">
        <v>-1120</v>
      </c>
      <c r="G24" s="11">
        <v>37</v>
      </c>
      <c r="H24" s="11"/>
    </row>
    <row r="25" spans="1:8" ht="19.5" customHeight="1" x14ac:dyDescent="0.2">
      <c r="A25" s="13" t="s">
        <v>52</v>
      </c>
      <c r="B25" s="14">
        <v>8.5</v>
      </c>
      <c r="C25" s="14">
        <v>17.899999999999999</v>
      </c>
      <c r="D25" s="14">
        <v>206.2</v>
      </c>
      <c r="E25" s="14">
        <v>67.8</v>
      </c>
      <c r="F25" s="14">
        <v>-1340</v>
      </c>
      <c r="G25" s="14">
        <v>37</v>
      </c>
      <c r="H25" s="14"/>
    </row>
    <row r="26" spans="1:8" ht="19.5" customHeight="1" x14ac:dyDescent="0.2">
      <c r="A26" s="10" t="s">
        <v>53</v>
      </c>
      <c r="B26" s="11">
        <v>8.3000000000000007</v>
      </c>
      <c r="C26" s="11">
        <v>17.5</v>
      </c>
      <c r="D26" s="11">
        <v>208.9</v>
      </c>
      <c r="E26" s="11">
        <v>69.400000000000006</v>
      </c>
      <c r="F26" s="11">
        <v>-1520</v>
      </c>
      <c r="G26" s="11">
        <v>37</v>
      </c>
      <c r="H26" s="11"/>
    </row>
    <row r="27" spans="1:8" ht="19.5" customHeight="1" x14ac:dyDescent="0.2">
      <c r="A27" s="13" t="s">
        <v>54</v>
      </c>
      <c r="B27" s="14">
        <v>8.6</v>
      </c>
      <c r="C27" s="12"/>
      <c r="D27" s="12"/>
      <c r="E27" s="12"/>
      <c r="F27" s="12"/>
      <c r="G27" s="14">
        <v>37</v>
      </c>
      <c r="H27" s="14" t="s">
        <v>82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F1"/>
    </sheetView>
  </sheetViews>
  <sheetFormatPr baseColWidth="10" defaultColWidth="8.6640625" defaultRowHeight="15" x14ac:dyDescent="0.2"/>
  <cols>
    <col min="1" max="2" width="18" customWidth="1"/>
    <col min="3" max="3" width="20" customWidth="1"/>
    <col min="4" max="5" width="22" customWidth="1"/>
    <col min="6" max="6" width="25" customWidth="1"/>
  </cols>
  <sheetData>
    <row r="1" spans="1:6" ht="31.5" customHeight="1" x14ac:dyDescent="0.2">
      <c r="A1" s="3" t="s">
        <v>83</v>
      </c>
      <c r="B1" s="3"/>
      <c r="C1" s="3"/>
      <c r="D1" s="3"/>
      <c r="E1" s="3"/>
      <c r="F1" s="3"/>
    </row>
    <row r="2" spans="1:6" ht="15" customHeight="1" x14ac:dyDescent="0.2">
      <c r="A2" s="2" t="s">
        <v>84</v>
      </c>
      <c r="B2" s="2"/>
      <c r="C2" s="2"/>
      <c r="D2" s="2"/>
      <c r="E2" s="2"/>
      <c r="F2" s="2"/>
    </row>
    <row r="3" spans="1:6" ht="27.75" customHeight="1" x14ac:dyDescent="0.2">
      <c r="A3" s="9" t="s">
        <v>24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30</v>
      </c>
    </row>
    <row r="4" spans="1:6" ht="19.5" customHeight="1" x14ac:dyDescent="0.2">
      <c r="A4" s="10" t="s">
        <v>31</v>
      </c>
      <c r="B4" s="11">
        <v>78.2</v>
      </c>
      <c r="C4" s="11">
        <v>95.4</v>
      </c>
      <c r="D4" s="11">
        <v>72.099999999999994</v>
      </c>
      <c r="E4" s="11">
        <v>81.3</v>
      </c>
      <c r="F4" s="11"/>
    </row>
    <row r="5" spans="1:6" ht="19.5" customHeight="1" x14ac:dyDescent="0.2">
      <c r="A5" s="13" t="s">
        <v>32</v>
      </c>
      <c r="B5" s="14">
        <v>79.099999999999994</v>
      </c>
      <c r="C5" s="14">
        <v>96.2</v>
      </c>
      <c r="D5" s="14">
        <v>73.400000000000006</v>
      </c>
      <c r="E5" s="14">
        <v>82.1</v>
      </c>
      <c r="F5" s="14"/>
    </row>
    <row r="6" spans="1:6" ht="19.5" customHeight="1" x14ac:dyDescent="0.2">
      <c r="A6" s="10" t="s">
        <v>33</v>
      </c>
      <c r="B6" s="11">
        <v>77.8</v>
      </c>
      <c r="C6" s="11">
        <v>94.8</v>
      </c>
      <c r="D6" s="11">
        <v>71.2</v>
      </c>
      <c r="E6" s="11">
        <v>80.400000000000006</v>
      </c>
      <c r="F6" s="11"/>
    </row>
    <row r="7" spans="1:6" ht="19.5" customHeight="1" x14ac:dyDescent="0.2">
      <c r="A7" s="13" t="s">
        <v>34</v>
      </c>
      <c r="B7" s="14">
        <v>76.400000000000006</v>
      </c>
      <c r="C7" s="14">
        <v>93.5</v>
      </c>
      <c r="D7" s="14">
        <v>70.3</v>
      </c>
      <c r="E7" s="14">
        <v>79.2</v>
      </c>
      <c r="F7" s="14"/>
    </row>
    <row r="8" spans="1:6" ht="19.5" customHeight="1" x14ac:dyDescent="0.2">
      <c r="A8" s="10" t="s">
        <v>35</v>
      </c>
      <c r="B8" s="11">
        <v>75.900000000000006</v>
      </c>
      <c r="C8" s="11">
        <v>93.1</v>
      </c>
      <c r="D8" s="11">
        <v>69.8</v>
      </c>
      <c r="E8" s="11">
        <v>78.900000000000006</v>
      </c>
      <c r="F8" s="11"/>
    </row>
    <row r="9" spans="1:6" ht="19.5" customHeight="1" x14ac:dyDescent="0.2">
      <c r="A9" s="13" t="s">
        <v>36</v>
      </c>
      <c r="B9" s="14">
        <v>77.2</v>
      </c>
      <c r="C9" s="14">
        <v>94.3</v>
      </c>
      <c r="D9" s="14">
        <v>71.099999999999994</v>
      </c>
      <c r="E9" s="14">
        <v>80.2</v>
      </c>
      <c r="F9" s="14"/>
    </row>
    <row r="10" spans="1:6" ht="19.5" customHeight="1" x14ac:dyDescent="0.2">
      <c r="A10" s="10" t="s">
        <v>37</v>
      </c>
      <c r="B10" s="11">
        <v>78.400000000000006</v>
      </c>
      <c r="C10" s="11">
        <v>95.6</v>
      </c>
      <c r="D10" s="11">
        <v>72.3</v>
      </c>
      <c r="E10" s="11">
        <v>81.5</v>
      </c>
      <c r="F10" s="11"/>
    </row>
    <row r="11" spans="1:6" ht="19.5" customHeight="1" x14ac:dyDescent="0.2">
      <c r="A11" s="13" t="s">
        <v>38</v>
      </c>
      <c r="B11" s="14">
        <v>79.599999999999994</v>
      </c>
      <c r="C11" s="14">
        <v>96.8</v>
      </c>
      <c r="D11" s="14">
        <v>73.5</v>
      </c>
      <c r="E11" s="14">
        <v>82.8</v>
      </c>
      <c r="F11" s="14"/>
    </row>
    <row r="12" spans="1:6" ht="19.5" customHeight="1" x14ac:dyDescent="0.2">
      <c r="A12" s="10" t="s">
        <v>39</v>
      </c>
      <c r="B12" s="11">
        <v>80.8</v>
      </c>
      <c r="C12" s="11">
        <v>97.9</v>
      </c>
      <c r="D12" s="11">
        <v>74.7</v>
      </c>
      <c r="E12" s="11">
        <v>83.9</v>
      </c>
      <c r="F12" s="11"/>
    </row>
    <row r="13" spans="1:6" ht="19.5" customHeight="1" x14ac:dyDescent="0.2">
      <c r="A13" s="13" t="s">
        <v>40</v>
      </c>
      <c r="B13" s="14">
        <v>81.900000000000006</v>
      </c>
      <c r="C13" s="14">
        <v>98.9</v>
      </c>
      <c r="D13" s="14">
        <v>75.8</v>
      </c>
      <c r="E13" s="14">
        <v>84.9</v>
      </c>
      <c r="F13" s="14"/>
    </row>
    <row r="14" spans="1:6" ht="19.5" customHeight="1" x14ac:dyDescent="0.2">
      <c r="A14" s="10" t="s">
        <v>41</v>
      </c>
      <c r="B14" s="11">
        <v>83.1</v>
      </c>
      <c r="C14" s="11">
        <v>99.9</v>
      </c>
      <c r="D14" s="11">
        <v>76.900000000000006</v>
      </c>
      <c r="E14" s="11">
        <v>85.9</v>
      </c>
      <c r="F14" s="11"/>
    </row>
    <row r="15" spans="1:6" ht="19.5" customHeight="1" x14ac:dyDescent="0.2">
      <c r="A15" s="13" t="s">
        <v>42</v>
      </c>
      <c r="B15" s="14">
        <v>82.4</v>
      </c>
      <c r="C15" s="14">
        <v>99.2</v>
      </c>
      <c r="D15" s="14">
        <v>76.2</v>
      </c>
      <c r="E15" s="14">
        <v>85.2</v>
      </c>
      <c r="F15" s="14"/>
    </row>
    <row r="16" spans="1:6" ht="19.5" customHeight="1" x14ac:dyDescent="0.2">
      <c r="A16" s="10" t="s">
        <v>43</v>
      </c>
      <c r="B16" s="11">
        <v>83.6</v>
      </c>
      <c r="C16" s="11">
        <v>100.2</v>
      </c>
      <c r="D16" s="11">
        <v>77.3</v>
      </c>
      <c r="E16" s="11">
        <v>86.2</v>
      </c>
      <c r="F16" s="11"/>
    </row>
    <row r="17" spans="1:6" ht="19.5" customHeight="1" x14ac:dyDescent="0.2">
      <c r="A17" s="13" t="s">
        <v>44</v>
      </c>
      <c r="B17" s="14">
        <v>84.7</v>
      </c>
      <c r="C17" s="14">
        <v>101.1</v>
      </c>
      <c r="D17" s="14">
        <v>78.3</v>
      </c>
      <c r="E17" s="14">
        <v>87.1</v>
      </c>
      <c r="F17" s="14"/>
    </row>
    <row r="18" spans="1:6" ht="19.5" customHeight="1" x14ac:dyDescent="0.2">
      <c r="A18" s="10" t="s">
        <v>45</v>
      </c>
      <c r="B18" s="11">
        <v>85.2</v>
      </c>
      <c r="C18" s="11">
        <v>101.6</v>
      </c>
      <c r="D18" s="11">
        <v>78.8</v>
      </c>
      <c r="E18" s="11">
        <v>87.6</v>
      </c>
      <c r="F18" s="11"/>
    </row>
    <row r="19" spans="1:6" ht="19.5" customHeight="1" x14ac:dyDescent="0.2">
      <c r="A19" s="13" t="s">
        <v>46</v>
      </c>
      <c r="B19" s="14">
        <v>84.8</v>
      </c>
      <c r="C19" s="14">
        <v>101.2</v>
      </c>
      <c r="D19" s="14">
        <v>78.400000000000006</v>
      </c>
      <c r="E19" s="14">
        <v>87.2</v>
      </c>
      <c r="F19" s="14"/>
    </row>
    <row r="20" spans="1:6" ht="19.5" customHeight="1" x14ac:dyDescent="0.2">
      <c r="A20" s="10" t="s">
        <v>47</v>
      </c>
      <c r="B20" s="11">
        <v>85.9</v>
      </c>
      <c r="C20" s="11">
        <v>102.2</v>
      </c>
      <c r="D20" s="11">
        <v>79.400000000000006</v>
      </c>
      <c r="E20" s="11">
        <v>88.2</v>
      </c>
      <c r="F20" s="11"/>
    </row>
    <row r="21" spans="1:6" ht="19.5" customHeight="1" x14ac:dyDescent="0.2">
      <c r="A21" s="13" t="s">
        <v>48</v>
      </c>
      <c r="B21" s="14">
        <v>86.4</v>
      </c>
      <c r="C21" s="14">
        <v>102.7</v>
      </c>
      <c r="D21" s="14">
        <v>79.900000000000006</v>
      </c>
      <c r="E21" s="14">
        <v>88.7</v>
      </c>
      <c r="F21" s="14"/>
    </row>
    <row r="22" spans="1:6" ht="19.5" customHeight="1" x14ac:dyDescent="0.2">
      <c r="A22" s="10" t="s">
        <v>49</v>
      </c>
      <c r="B22" s="11">
        <v>87.1</v>
      </c>
      <c r="C22" s="11">
        <v>103.3</v>
      </c>
      <c r="D22" s="11">
        <v>80.5</v>
      </c>
      <c r="E22" s="11">
        <v>89.3</v>
      </c>
      <c r="F22" s="11"/>
    </row>
    <row r="23" spans="1:6" ht="19.5" customHeight="1" x14ac:dyDescent="0.2">
      <c r="A23" s="13" t="s">
        <v>50</v>
      </c>
      <c r="B23" s="14">
        <v>87.8</v>
      </c>
      <c r="C23" s="14">
        <v>103.9</v>
      </c>
      <c r="D23" s="14">
        <v>81.099999999999994</v>
      </c>
      <c r="E23" s="14">
        <v>89.9</v>
      </c>
      <c r="F23" s="14"/>
    </row>
    <row r="24" spans="1:6" ht="19.5" customHeight="1" x14ac:dyDescent="0.2">
      <c r="A24" s="10" t="s">
        <v>51</v>
      </c>
      <c r="B24" s="11">
        <v>88.3</v>
      </c>
      <c r="C24" s="11">
        <v>104.4</v>
      </c>
      <c r="D24" s="11">
        <v>81.599999999999994</v>
      </c>
      <c r="E24" s="11">
        <v>90.4</v>
      </c>
      <c r="F24" s="11"/>
    </row>
    <row r="25" spans="1:6" ht="19.5" customHeight="1" x14ac:dyDescent="0.2">
      <c r="A25" s="13" t="s">
        <v>52</v>
      </c>
      <c r="B25" s="14">
        <v>88.9</v>
      </c>
      <c r="C25" s="14">
        <v>104.9</v>
      </c>
      <c r="D25" s="14">
        <v>82.1</v>
      </c>
      <c r="E25" s="14">
        <v>90.9</v>
      </c>
      <c r="F25" s="14"/>
    </row>
    <row r="26" spans="1:6" ht="19.5" customHeight="1" x14ac:dyDescent="0.2">
      <c r="A26" s="10" t="s">
        <v>53</v>
      </c>
      <c r="B26" s="11">
        <v>89.4</v>
      </c>
      <c r="C26" s="11">
        <v>105.3</v>
      </c>
      <c r="D26" s="11">
        <v>82.5</v>
      </c>
      <c r="E26" s="11">
        <v>91.3</v>
      </c>
      <c r="F26" s="11"/>
    </row>
    <row r="27" spans="1:6" ht="19.5" customHeight="1" x14ac:dyDescent="0.2">
      <c r="A27" s="13" t="s">
        <v>54</v>
      </c>
      <c r="B27" s="12"/>
      <c r="C27" s="12"/>
      <c r="D27" s="12"/>
      <c r="E27" s="12"/>
      <c r="F27" s="14" t="s">
        <v>89</v>
      </c>
    </row>
    <row r="28" spans="1:6" ht="19.5" customHeight="1" x14ac:dyDescent="0.2">
      <c r="A28" s="10" t="s">
        <v>90</v>
      </c>
      <c r="B28" s="12"/>
      <c r="C28" s="12"/>
      <c r="D28" s="12"/>
      <c r="E28" s="12"/>
      <c r="F28" s="11" t="s">
        <v>91</v>
      </c>
    </row>
    <row r="29" spans="1:6" ht="19.5" customHeight="1" x14ac:dyDescent="0.2">
      <c r="A29" s="13" t="s">
        <v>92</v>
      </c>
      <c r="B29" s="12"/>
      <c r="C29" s="12"/>
      <c r="D29" s="12"/>
      <c r="E29" s="12"/>
      <c r="F29" s="14" t="s">
        <v>93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📖 Kullanım Kılavuzu</vt:lpstr>
      <vt:lpstr>TÜFE_ÜFE</vt:lpstr>
      <vt:lpstr>Dış_Ticaret</vt:lpstr>
      <vt:lpstr>Bankacılık</vt:lpstr>
      <vt:lpstr>İşsizlik_Rezerv_Cari</vt:lpstr>
      <vt:lpstr>Tük_Güven_Endeksi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Hayim Zibil</cp:lastModifiedBy>
  <cp:revision>0</cp:revision>
  <dcterms:created xsi:type="dcterms:W3CDTF">2026-03-31T13:00:42Z</dcterms:created>
  <dcterms:modified xsi:type="dcterms:W3CDTF">2026-03-31T13:49:32Z</dcterms:modified>
  <dc:language>en-US</dc:language>
</cp:coreProperties>
</file>